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is\OneDrive\Documentos\"/>
    </mc:Choice>
  </mc:AlternateContent>
  <xr:revisionPtr revIDLastSave="0" documentId="13_ncr:1_{D33A3FDC-0237-4C7E-9154-B5EC673B7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do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C3" i="1"/>
  <c r="B10" i="1" l="1"/>
  <c r="B11" i="1" s="1"/>
</calcChain>
</file>

<file path=xl/sharedStrings.xml><?xml version="1.0" encoding="utf-8"?>
<sst xmlns="http://schemas.openxmlformats.org/spreadsheetml/2006/main" count="40" uniqueCount="33">
  <si>
    <t>Nome do especialista (opcional)</t>
  </si>
  <si>
    <t>Titulação acadêmica</t>
  </si>
  <si>
    <t>Experiência clínica (anos)</t>
  </si>
  <si>
    <t>Atuação em ensino/pesquisa</t>
  </si>
  <si>
    <t>Escore final (SPC)</t>
  </si>
  <si>
    <t>Classificação</t>
  </si>
  <si>
    <t>Critério</t>
  </si>
  <si>
    <t>Regra</t>
  </si>
  <si>
    <t>Pontuação</t>
  </si>
  <si>
    <t>Doutorado</t>
  </si>
  <si>
    <t>Mestrado</t>
  </si>
  <si>
    <t>Experiência clínica</t>
  </si>
  <si>
    <t>&gt;10 anos</t>
  </si>
  <si>
    <t>5–10 anos</t>
  </si>
  <si>
    <t>2–5 anos</t>
  </si>
  <si>
    <t>Ensino/pesquisa</t>
  </si>
  <si>
    <t>Sim</t>
  </si>
  <si>
    <t>Especialização clínica</t>
  </si>
  <si>
    <t>Título de especialista OU curso de especialização (Sim)</t>
  </si>
  <si>
    <t>Ponto de corte</t>
  </si>
  <si>
    <t>Expert se escore ≥ 5</t>
  </si>
  <si>
    <t>Especialização/Residência/Título de especialista</t>
  </si>
  <si>
    <t>https://www.ccs.ufpb.br/liev/</t>
  </si>
  <si>
    <t>Laboratório Integrado de Estudos da Voz</t>
  </si>
  <si>
    <r>
      <rPr>
        <b/>
        <sz val="11"/>
        <color theme="3"/>
        <rFont val="Times New Roman"/>
        <family val="1"/>
      </rPr>
      <t xml:space="preserve">Contato: </t>
    </r>
    <r>
      <rPr>
        <sz val="11"/>
        <color theme="3"/>
        <rFont val="Times New Roman"/>
        <family val="1"/>
      </rPr>
      <t>denis.batista@outlook.com.br</t>
    </r>
  </si>
  <si>
    <t>¹Fehring RJ. Methods to validate nursing diagnoses. Heart Lung. 1987;16(6 Pt 1):625-629.</t>
  </si>
  <si>
    <t>1 ponto por artigo (máximo 4 artigos)</t>
  </si>
  <si>
    <t>Número de artigos na área</t>
  </si>
  <si>
    <t>Número de estudos de validação</t>
  </si>
  <si>
    <t>2 pontos por estudo de validação (máximo 2 estudos)</t>
  </si>
  <si>
    <t>≤4</t>
  </si>
  <si>
    <r>
      <t xml:space="preserve">Calculadora desenvolvida por: </t>
    </r>
    <r>
      <rPr>
        <sz val="11"/>
        <color theme="3"/>
        <rFont val="Times New Roman"/>
        <family val="1"/>
      </rPr>
      <t>Denis de Jesus Batista, Priscila Oliveira Costa Silva, Luiz Medeiros Araujo Filho &amp; Leonardo Wanderley Lopes. ADAPTATION OF THE FEHRING MODEL FOR THE SELECTION OF SPECIALISTS IN VALIDATION STUDIES IN SPEECH-LANGUAGE PATHOLOGY AND AUDIOLOGY. Codas. 2027; Jan 39(1) - (in press)</t>
    </r>
  </si>
  <si>
    <t>Calculadora – Seleção de Especialistas (Modelo de Fehring Adaptado)¹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</si>
</sst>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3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3"/>
      <name val="Times New Roman"/>
      <family val="1"/>
    </font>
    <font>
      <b/>
      <sz val="11"/>
      <color theme="3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3" borderId="0" xfId="0" applyFont="1" applyFill="1"/>
    <xf numFmtId="0" fontId="4" fillId="3" borderId="0" xfId="1" applyFont="1" applyFill="1"/>
    <xf numFmtId="0" fontId="6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2" fillId="3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14</xdr:row>
      <xdr:rowOff>32905</xdr:rowOff>
    </xdr:from>
    <xdr:ext cx="1379220" cy="1353934"/>
    <xdr:pic>
      <xdr:nvPicPr>
        <xdr:cNvPr id="2" name="Picture 1" descr="Laboratório Integrado de Estudos da Voz">
          <a:extLst>
            <a:ext uri="{FF2B5EF4-FFF2-40B4-BE49-F238E27FC236}">
              <a16:creationId xmlns:a16="http://schemas.microsoft.com/office/drawing/2014/main" id="{C5E3AC80-36B5-4632-8C8D-0F2E2B30D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692285"/>
          <a:ext cx="1379220" cy="1353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cs.ufpb.br/li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workbookViewId="0">
      <pane ySplit="1" topLeftCell="A2" activePane="bottomLeft" state="frozen"/>
      <selection pane="bottomLeft" sqref="A1:C1"/>
    </sheetView>
  </sheetViews>
  <sheetFormatPr defaultRowHeight="14.4" x14ac:dyDescent="0.3"/>
  <cols>
    <col min="1" max="1" width="41.6640625" bestFit="1" customWidth="1"/>
    <col min="2" max="2" width="30" customWidth="1"/>
    <col min="3" max="3" width="18" hidden="1" customWidth="1"/>
    <col min="5" max="5" width="27.44140625" bestFit="1" customWidth="1"/>
    <col min="6" max="6" width="46.109375" bestFit="1" customWidth="1"/>
    <col min="7" max="7" width="10.109375" bestFit="1" customWidth="1"/>
  </cols>
  <sheetData>
    <row r="1" spans="1:10" ht="33.6" customHeight="1" x14ac:dyDescent="0.3">
      <c r="A1" s="11" t="s">
        <v>32</v>
      </c>
      <c r="B1" s="12"/>
      <c r="C1" s="12"/>
      <c r="D1" s="1"/>
      <c r="E1" s="4" t="s">
        <v>6</v>
      </c>
      <c r="F1" s="4" t="s">
        <v>7</v>
      </c>
      <c r="G1" s="4" t="s">
        <v>8</v>
      </c>
    </row>
    <row r="2" spans="1:10" x14ac:dyDescent="0.3">
      <c r="A2" s="4" t="s">
        <v>0</v>
      </c>
      <c r="B2" s="5"/>
      <c r="C2" s="5"/>
      <c r="D2" s="1"/>
      <c r="E2" s="5" t="s">
        <v>1</v>
      </c>
      <c r="F2" s="5" t="s">
        <v>9</v>
      </c>
      <c r="G2" s="6">
        <v>4</v>
      </c>
    </row>
    <row r="3" spans="1:10" x14ac:dyDescent="0.3">
      <c r="A3" s="4" t="s">
        <v>1</v>
      </c>
      <c r="B3" s="5"/>
      <c r="C3" s="5">
        <f>IF(B3="Doutorado",4,IF(B3="Mestrado",2,0))</f>
        <v>0</v>
      </c>
      <c r="D3" s="1"/>
      <c r="E3" s="5" t="s">
        <v>1</v>
      </c>
      <c r="F3" s="5" t="s">
        <v>10</v>
      </c>
      <c r="G3" s="6">
        <v>2</v>
      </c>
    </row>
    <row r="4" spans="1:10" x14ac:dyDescent="0.3">
      <c r="A4" s="4" t="s">
        <v>2</v>
      </c>
      <c r="B4" s="5"/>
      <c r="C4" s="5">
        <f>IF(B4="&gt;10",3,IF(B4="5–10",2,IF(B4="2–5",1,0)))</f>
        <v>0</v>
      </c>
      <c r="D4" s="1"/>
      <c r="E4" s="5" t="s">
        <v>11</v>
      </c>
      <c r="F4" s="5" t="s">
        <v>12</v>
      </c>
      <c r="G4" s="6">
        <v>3</v>
      </c>
    </row>
    <row r="5" spans="1:10" x14ac:dyDescent="0.3">
      <c r="A5" s="4" t="s">
        <v>27</v>
      </c>
      <c r="B5" s="5"/>
      <c r="C5" s="5">
        <f>MIN(B5,5)</f>
        <v>5</v>
      </c>
      <c r="D5" s="1"/>
      <c r="E5" s="5" t="s">
        <v>11</v>
      </c>
      <c r="F5" s="5" t="s">
        <v>13</v>
      </c>
      <c r="G5" s="6">
        <v>2</v>
      </c>
    </row>
    <row r="6" spans="1:10" x14ac:dyDescent="0.3">
      <c r="A6" s="4" t="s">
        <v>28</v>
      </c>
      <c r="B6" s="5"/>
      <c r="C6" s="5">
        <f>2*B6</f>
        <v>0</v>
      </c>
      <c r="D6" s="1"/>
      <c r="E6" s="5" t="s">
        <v>11</v>
      </c>
      <c r="F6" s="5" t="s">
        <v>14</v>
      </c>
      <c r="G6" s="6">
        <v>1</v>
      </c>
    </row>
    <row r="7" spans="1:10" x14ac:dyDescent="0.3">
      <c r="A7" s="4" t="s">
        <v>3</v>
      </c>
      <c r="B7" s="5"/>
      <c r="C7" s="5">
        <f>IF(B7="Sim",2,0)</f>
        <v>0</v>
      </c>
      <c r="D7" s="1"/>
      <c r="E7" s="5" t="s">
        <v>27</v>
      </c>
      <c r="F7" s="5" t="s">
        <v>26</v>
      </c>
      <c r="G7" s="6" t="s">
        <v>30</v>
      </c>
    </row>
    <row r="8" spans="1:10" x14ac:dyDescent="0.3">
      <c r="A8" s="4" t="s">
        <v>21</v>
      </c>
      <c r="B8" s="5"/>
      <c r="C8" s="5">
        <f>IF(B8="Sim",2,0)</f>
        <v>0</v>
      </c>
      <c r="D8" s="1"/>
      <c r="E8" s="5" t="s">
        <v>28</v>
      </c>
      <c r="F8" s="5" t="s">
        <v>29</v>
      </c>
      <c r="G8" s="6" t="s">
        <v>30</v>
      </c>
    </row>
    <row r="9" spans="1:10" x14ac:dyDescent="0.3">
      <c r="A9" s="5"/>
      <c r="B9" s="5"/>
      <c r="C9" s="5"/>
      <c r="D9" s="1"/>
      <c r="E9" s="5" t="s">
        <v>15</v>
      </c>
      <c r="F9" s="5" t="s">
        <v>16</v>
      </c>
      <c r="G9" s="6">
        <v>2</v>
      </c>
    </row>
    <row r="10" spans="1:10" x14ac:dyDescent="0.3">
      <c r="A10" s="4" t="s">
        <v>4</v>
      </c>
      <c r="B10" s="8">
        <f>SUM(C3:C8)</f>
        <v>5</v>
      </c>
      <c r="C10" s="5"/>
      <c r="D10" s="1"/>
      <c r="E10" s="5" t="s">
        <v>17</v>
      </c>
      <c r="F10" s="5" t="s">
        <v>18</v>
      </c>
      <c r="G10" s="6">
        <v>2</v>
      </c>
    </row>
    <row r="11" spans="1:10" ht="28.2" x14ac:dyDescent="0.3">
      <c r="A11" s="4" t="s">
        <v>5</v>
      </c>
      <c r="B11" s="7" t="str">
        <f>IF(B10&gt;=5,"CLASSIFICADO COMO EXPERT","NÃO CLASSIFICADO COMO EXPERT")</f>
        <v>CLASSIFICADO COMO EXPERT</v>
      </c>
      <c r="C11" s="5"/>
      <c r="D11" s="1"/>
      <c r="E11" s="5" t="s">
        <v>19</v>
      </c>
      <c r="F11" s="5" t="s">
        <v>20</v>
      </c>
      <c r="G11" s="6"/>
    </row>
    <row r="12" spans="1:10" x14ac:dyDescent="0.3">
      <c r="A12" s="9" t="s">
        <v>25</v>
      </c>
      <c r="B12" s="9"/>
      <c r="C12" s="9"/>
      <c r="D12" s="9"/>
      <c r="E12" s="9"/>
      <c r="F12" s="1"/>
      <c r="G12" s="1"/>
      <c r="H12" s="1"/>
      <c r="I12" s="1"/>
    </row>
    <row r="13" spans="1:10" ht="30.6" customHeight="1" x14ac:dyDescent="0.3">
      <c r="A13" s="10" t="s">
        <v>31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3">
      <c r="A14" s="9" t="s">
        <v>24</v>
      </c>
      <c r="B14" s="9"/>
      <c r="C14" s="1"/>
      <c r="D14" s="1"/>
      <c r="E14" s="1"/>
      <c r="F14" s="1"/>
      <c r="G14" s="1"/>
      <c r="H14" s="1"/>
      <c r="I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9" t="s">
        <v>23</v>
      </c>
      <c r="B23" s="9"/>
      <c r="C23" s="1"/>
      <c r="D23" s="1"/>
      <c r="E23" s="1"/>
      <c r="F23" s="1"/>
      <c r="G23" s="1"/>
      <c r="H23" s="1"/>
      <c r="I23" s="1"/>
    </row>
    <row r="24" spans="1:9" x14ac:dyDescent="0.3">
      <c r="A24" s="3" t="s">
        <v>22</v>
      </c>
      <c r="B24" s="2"/>
      <c r="C24" s="1"/>
      <c r="D24" s="1"/>
      <c r="E24" s="1"/>
      <c r="F24" s="1"/>
      <c r="G24" s="1"/>
      <c r="H24" s="1"/>
      <c r="I24" s="1"/>
    </row>
  </sheetData>
  <mergeCells count="5">
    <mergeCell ref="A1:C1"/>
    <mergeCell ref="A23:B23"/>
    <mergeCell ref="A14:B14"/>
    <mergeCell ref="A12:E12"/>
    <mergeCell ref="A13:J13"/>
  </mergeCells>
  <conditionalFormatting sqref="B10">
    <cfRule type="cellIs" dxfId="3" priority="1" operator="greaterThanOrEqual">
      <formula>5</formula>
    </cfRule>
    <cfRule type="cellIs" dxfId="2" priority="2" operator="lessThan">
      <formula>5</formula>
    </cfRule>
  </conditionalFormatting>
  <conditionalFormatting sqref="B11">
    <cfRule type="cellIs" dxfId="1" priority="3" operator="equal">
      <formula>"CLASSIFICADO COMO EXPERT"</formula>
    </cfRule>
    <cfRule type="cellIs" dxfId="0" priority="4" operator="equal">
      <formula>"NÃO CLASSIFICADO COMO EXPERT"</formula>
    </cfRule>
  </conditionalFormatting>
  <dataValidations count="5">
    <dataValidation type="list" allowBlank="1" sqref="B3" xr:uid="{00000000-0002-0000-0000-000000000000}">
      <formula1>"Doutorado,Mestrado,Outro"</formula1>
    </dataValidation>
    <dataValidation type="list" allowBlank="1" sqref="B4" xr:uid="{00000000-0002-0000-0000-000001000000}">
      <formula1>"&gt;10,5–10,2–5,&lt;2"</formula1>
    </dataValidation>
    <dataValidation type="list" allowBlank="1" sqref="B7:B8" xr:uid="{00000000-0002-0000-0000-000002000000}">
      <formula1>"Sim,Não"</formula1>
    </dataValidation>
    <dataValidation type="list" allowBlank="1" showInputMessage="1" showErrorMessage="1" sqref="B5" xr:uid="{7FCA86CD-452A-4199-B915-49DC686CEB32}">
      <formula1>"0,1,2,3,4"</formula1>
    </dataValidation>
    <dataValidation type="list" allowBlank="1" showInputMessage="1" showErrorMessage="1" sqref="B6" xr:uid="{21644940-C87A-4B1A-B1DC-DC2AAA7D1AC9}">
      <formula1>"0,1,2"</formula1>
    </dataValidation>
  </dataValidations>
  <hyperlinks>
    <hyperlink ref="A24" r:id="rId1" xr:uid="{B9D7A02A-805F-4B60-BBCB-D9A884772F44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Calculadora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Batista</cp:lastModifiedBy>
  <dcterms:created xsi:type="dcterms:W3CDTF">2026-01-19T05:39:21Z</dcterms:created>
  <dcterms:modified xsi:type="dcterms:W3CDTF">2026-06-25T02:06:45Z</dcterms:modified>
</cp:coreProperties>
</file>